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ctor.fonseca\Desktop\Manutenção Preventiva Gerador Naportec\"/>
    </mc:Choice>
  </mc:AlternateContent>
  <xr:revisionPtr revIDLastSave="0" documentId="13_ncr:1_{BC64FC44-C55E-401E-AB31-576D027A7856}" xr6:coauthVersionLast="47" xr6:coauthVersionMax="47" xr10:uidLastSave="{00000000-0000-0000-0000-000000000000}"/>
  <bookViews>
    <workbookView xWindow="-120" yWindow="-120" windowWidth="20730" windowHeight="11160" activeTab="1" xr2:uid="{CCB71878-BB05-46F4-A0CD-2AB0B652B8F7}"/>
  </bookViews>
  <sheets>
    <sheet name="Geral" sheetId="9" r:id="rId1"/>
    <sheet name="DIARIO" sheetId="3" r:id="rId2"/>
    <sheet name="SEMANAL" sheetId="4" r:id="rId3"/>
    <sheet name="ANUAL" sheetId="6" r:id="rId4"/>
    <sheet name="2_ANO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9" l="1"/>
  <c r="E15" i="9" a="1"/>
  <c r="E15" i="9" s="1"/>
  <c r="F15" i="9" s="1"/>
  <c r="E14" i="9" a="1"/>
  <c r="E14" i="9" s="1"/>
  <c r="F14" i="9" s="1"/>
  <c r="E13" i="9" a="1"/>
  <c r="E13" i="9" s="1"/>
  <c r="F13" i="9" s="1"/>
  <c r="E12" i="9" a="1"/>
  <c r="E12" i="9" s="1"/>
  <c r="F12" i="9" s="1"/>
  <c r="I24" i="9"/>
  <c r="I25" i="9"/>
  <c r="I26" i="9"/>
  <c r="I27" i="9"/>
  <c r="I28" i="9"/>
  <c r="I29" i="9"/>
  <c r="I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<sst xmlns="http://schemas.openxmlformats.org/spreadsheetml/2006/main" count="97" uniqueCount="71">
  <si>
    <t>DATA</t>
  </si>
  <si>
    <t>TÉCNICO</t>
  </si>
  <si>
    <t>INTERCORRÊNCIAS</t>
  </si>
  <si>
    <t>CONTROLE DE MANUTENÇÃO PREVENTIVA REGISTRO DIÁRIO</t>
  </si>
  <si>
    <t>LISTA DE ITENS PARA VERIFICAÇÃO</t>
  </si>
  <si>
    <t>MOTOR PERKINS</t>
  </si>
  <si>
    <t>Inspeçao Visual do Filtro Primário (separador de água do sistema de combustível)</t>
  </si>
  <si>
    <t>Inspeção Visual do Filtro Secundário (separador de água do sistema de combustível)</t>
  </si>
  <si>
    <t>Inspeção Visual Geral do Equipamento</t>
  </si>
  <si>
    <t>Inspeção Indicador de Serviço do Filtro de Ar do Motor</t>
  </si>
  <si>
    <t>Verificar Acionamento do Equipamento</t>
  </si>
  <si>
    <t>Verificar Nível do Líquido de Arrefecimento</t>
  </si>
  <si>
    <t xml:space="preserve">Verificar Nível do Óleo Lubrificante </t>
  </si>
  <si>
    <t>MÓDULO DE CONTROLE DSE</t>
  </si>
  <si>
    <t>Inspeção de Alarmes na Tela do Controlador</t>
  </si>
  <si>
    <t>REGISTRO DE MANUTENÇÃO</t>
  </si>
  <si>
    <t>CONTROLE DE MANUTENÇÃO PREVENTIVA REGISTRO SEMANAL</t>
  </si>
  <si>
    <t>Drenar Água e Sedimentos do Tanque de Combustível</t>
  </si>
  <si>
    <t>REGISTRO HORÍMETRO</t>
  </si>
  <si>
    <t xml:space="preserve">ANTERIOR:  </t>
  </si>
  <si>
    <t xml:space="preserve">ATUAL:  </t>
  </si>
  <si>
    <t>CONTROLE DE MANUTENÇÃO PREVENTIVA REGISTRO ANUAL</t>
  </si>
  <si>
    <t>Inspeção / Ajustar / Substituir Correias do Alternador e Ventilador</t>
  </si>
  <si>
    <t>Inspeção / Ajuste da Folga das Válvulas do Motor</t>
  </si>
  <si>
    <t>Inspeção / Reaperto / Limpeza Ligação Terra do Motor</t>
  </si>
  <si>
    <t>Inspeção / Substituição das Mangueiras e Abraçadeiras</t>
  </si>
  <si>
    <t>Inspeção / Substituição do Elemento do Filtro de Ar (Elemento Único)</t>
  </si>
  <si>
    <t>Inspeção da Bomba de Água</t>
  </si>
  <si>
    <t>Inspeção da Colmeia do Pós-Respirador</t>
  </si>
  <si>
    <t>Inspeção do Alternador</t>
  </si>
  <si>
    <t>Inspeção do Motor de Partida</t>
  </si>
  <si>
    <t>Inspeção do Turbocompressor</t>
  </si>
  <si>
    <t>Inspeção dos Coxins do Motor</t>
  </si>
  <si>
    <t>Inspeção Nível do Eletrólito da Bateria</t>
  </si>
  <si>
    <t>Limpeza / Substituição do Elemento do Filtro de Ar (Elemento Duplo)</t>
  </si>
  <si>
    <t>Limpeza do Radiador</t>
  </si>
  <si>
    <t>Substituição do Filtro de Óleo e do Óleo</t>
  </si>
  <si>
    <t>Substituição do Filtro Primário do Sistema de Combustível</t>
  </si>
  <si>
    <t>Substituição do Filtro Secundário do Sistema de Combustível</t>
  </si>
  <si>
    <t>Limpeza do Gerador Síncrono</t>
  </si>
  <si>
    <t>Inspeção / Reaperto do Cabeamento do Gerador</t>
  </si>
  <si>
    <t>GERADOR WEG G PLUS</t>
  </si>
  <si>
    <t>Limpeza / Teste da Colmeia do Pós-Resfriador</t>
  </si>
  <si>
    <t>Teste / Troca do Injetor de Combustível</t>
  </si>
  <si>
    <t>CONTROLE DE MANUTENÇÃO PREVENTIVA REGISTRO BIENAL</t>
  </si>
  <si>
    <t>Filtro de Óleo</t>
  </si>
  <si>
    <t>Filtro de Ar</t>
  </si>
  <si>
    <t>Filtro de Combustível</t>
  </si>
  <si>
    <t>Óleo</t>
  </si>
  <si>
    <t>CASO A TROCA NÃO TENHA SIDO REALIZADA POR TEMPO EM OPERAÇÃO:</t>
  </si>
  <si>
    <t>ITEM</t>
  </si>
  <si>
    <t>HORÍMETRO ATUAL</t>
  </si>
  <si>
    <t>TEMPO FIXO [h]</t>
  </si>
  <si>
    <t>HORÍMETRO</t>
  </si>
  <si>
    <t>CONTROLE DE MANUTENÇÃO PREVENTIVA - VISÃO GERAL</t>
  </si>
  <si>
    <t>Correias</t>
  </si>
  <si>
    <t>Válvulas</t>
  </si>
  <si>
    <t>SUBSTITUIÇÃO DE ITENS POR HORAS DE OPERAÇÃO (EM FUNÇÃO DO REGISTRO SEMANAL DO HORÍMETRO DO GERADOR)</t>
  </si>
  <si>
    <t>RESPONSÁVEL</t>
  </si>
  <si>
    <t>TEMPO PARA PRÓXIMA TROCA [h]</t>
  </si>
  <si>
    <t>Fluido Arrefecedor</t>
  </si>
  <si>
    <t>ÚLTIMA MANUTENÇÃO</t>
  </si>
  <si>
    <t>Troca do Fluido Arrefecedor</t>
  </si>
  <si>
    <t>NÚMERO DE SÉRIE GRUPO GERADOR:</t>
  </si>
  <si>
    <t>NÚMERO DE SÉRIE SPCTRUM CARGO:</t>
  </si>
  <si>
    <t>FREQUÊNCIA DE MANUTENÇÃO</t>
  </si>
  <si>
    <t>PRÓXIMA MANUTENÇÃO</t>
  </si>
  <si>
    <t>DIÁRIO</t>
  </si>
  <si>
    <t>SEMANAL</t>
  </si>
  <si>
    <t>ANUAL</t>
  </si>
  <si>
    <t>BIENAL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</si>
</sst>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Microsoft JhengHei"/>
      <family val="2"/>
    </font>
    <font>
      <b/>
      <sz val="11"/>
      <color theme="0"/>
      <name val="Microsoft JhengHei"/>
      <family val="2"/>
    </font>
    <font>
      <b/>
      <sz val="12"/>
      <color theme="0"/>
      <name val="Microsoft JhengHei"/>
      <family val="2"/>
    </font>
    <font>
      <b/>
      <sz val="14"/>
      <color theme="0"/>
      <name val="Microsoft JhengHei"/>
      <family val="2"/>
    </font>
    <font>
      <sz val="10"/>
      <color theme="1"/>
      <name val="Microsoft JhengHei"/>
      <family val="2"/>
    </font>
    <font>
      <sz val="12"/>
      <color theme="1"/>
      <name val="Microsoft JhengHei"/>
      <family val="2"/>
    </font>
    <font>
      <b/>
      <sz val="10"/>
      <color theme="0"/>
      <name val="Microsoft JhengHei"/>
      <family val="2"/>
    </font>
    <font>
      <sz val="8"/>
      <name val="Aptos Narrow"/>
      <family val="2"/>
      <scheme val="minor"/>
    </font>
    <font>
      <sz val="10"/>
      <color theme="0"/>
      <name val="Microsoft JhengHei"/>
      <family val="2"/>
    </font>
    <font>
      <sz val="10"/>
      <name val="Microsoft JhengHe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2" borderId="0" xfId="0" applyFont="1" applyFill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14" fontId="10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"/>
        <family val="2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"/>
        <family val="2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"/>
        <family val="2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JhengHei"/>
        <family val="2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B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29</xdr:row>
      <xdr:rowOff>114300</xdr:rowOff>
    </xdr:from>
    <xdr:to>
      <xdr:col>6</xdr:col>
      <xdr:colOff>247650</xdr:colOff>
      <xdr:row>31</xdr:row>
      <xdr:rowOff>73479</xdr:rowOff>
    </xdr:to>
    <xdr:sp macro="[0]!AbreForm5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4487EE-858F-4F93-90AC-C1B9F2AE0EF8}"/>
            </a:ext>
          </a:extLst>
        </xdr:cNvPr>
        <xdr:cNvSpPr/>
      </xdr:nvSpPr>
      <xdr:spPr>
        <a:xfrm>
          <a:off x="3657600" y="3324225"/>
          <a:ext cx="1419225" cy="387804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REGISTRO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619125</xdr:colOff>
      <xdr:row>4</xdr:row>
      <xdr:rowOff>38100</xdr:rowOff>
    </xdr:from>
    <xdr:to>
      <xdr:col>8</xdr:col>
      <xdr:colOff>962025</xdr:colOff>
      <xdr:row>6</xdr:row>
      <xdr:rowOff>142875</xdr:rowOff>
    </xdr:to>
    <xdr:sp macro="[0]!AbreForm6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2B7AB62-87CC-4CAD-A6CC-2C536D4D2AB4}"/>
            </a:ext>
          </a:extLst>
        </xdr:cNvPr>
        <xdr:cNvSpPr/>
      </xdr:nvSpPr>
      <xdr:spPr>
        <a:xfrm>
          <a:off x="6296025" y="771525"/>
          <a:ext cx="1190625" cy="352425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DADOS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20</xdr:row>
      <xdr:rowOff>50346</xdr:rowOff>
    </xdr:from>
    <xdr:to>
      <xdr:col>4</xdr:col>
      <xdr:colOff>495300</xdr:colOff>
      <xdr:row>23</xdr:row>
      <xdr:rowOff>0</xdr:rowOff>
    </xdr:to>
    <xdr:sp macro="[0]!Abr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FD9386B-6437-4AA3-9667-3358E45549DF}"/>
            </a:ext>
          </a:extLst>
        </xdr:cNvPr>
        <xdr:cNvSpPr/>
      </xdr:nvSpPr>
      <xdr:spPr>
        <a:xfrm>
          <a:off x="2924175" y="3803196"/>
          <a:ext cx="1419225" cy="387804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REGISTRO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13</xdr:row>
      <xdr:rowOff>97971</xdr:rowOff>
    </xdr:from>
    <xdr:to>
      <xdr:col>4</xdr:col>
      <xdr:colOff>1809750</xdr:colOff>
      <xdr:row>15</xdr:row>
      <xdr:rowOff>104775</xdr:rowOff>
    </xdr:to>
    <xdr:sp macro="[0]!AbreForm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045ED6E-1530-42D3-AE55-ED2B90859B84}"/>
            </a:ext>
          </a:extLst>
        </xdr:cNvPr>
        <xdr:cNvSpPr/>
      </xdr:nvSpPr>
      <xdr:spPr>
        <a:xfrm>
          <a:off x="4238625" y="2336346"/>
          <a:ext cx="1419225" cy="387804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REGISTRO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34</xdr:row>
      <xdr:rowOff>97971</xdr:rowOff>
    </xdr:from>
    <xdr:to>
      <xdr:col>4</xdr:col>
      <xdr:colOff>1809750</xdr:colOff>
      <xdr:row>36</xdr:row>
      <xdr:rowOff>104775</xdr:rowOff>
    </xdr:to>
    <xdr:sp macro="[0]!AbreForm3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F96E765-543C-4BEE-B132-7A911DC8B2E3}"/>
            </a:ext>
          </a:extLst>
        </xdr:cNvPr>
        <xdr:cNvSpPr/>
      </xdr:nvSpPr>
      <xdr:spPr>
        <a:xfrm>
          <a:off x="4238625" y="2336346"/>
          <a:ext cx="1419225" cy="387804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REGISTRO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390525</xdr:colOff>
      <xdr:row>15</xdr:row>
      <xdr:rowOff>97971</xdr:rowOff>
    </xdr:from>
    <xdr:to>
      <xdr:col>4</xdr:col>
      <xdr:colOff>1809750</xdr:colOff>
      <xdr:row>17</xdr:row>
      <xdr:rowOff>104775</xdr:rowOff>
    </xdr:to>
    <xdr:sp macro="[0]!AbreForm4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E8D58BD-EDDD-4E5A-8616-8456407C98B5}"/>
            </a:ext>
          </a:extLst>
        </xdr:cNvPr>
        <xdr:cNvSpPr/>
      </xdr:nvSpPr>
      <xdr:spPr>
        <a:xfrm>
          <a:off x="4238625" y="6060621"/>
          <a:ext cx="1419225" cy="387804"/>
        </a:xfrm>
        <a:prstGeom prst="roundRect">
          <a:avLst/>
        </a:prstGeom>
        <a:solidFill>
          <a:srgbClr val="FFC000"/>
        </a:solidFill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REGISTRO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51FC0C-7762-4288-B3E2-7FD16023F698}" name="Tabela3" displayName="Tabela3" ref="C25:E26" insertRow="1" totalsRowShown="0" headerRowDxfId="19" dataDxfId="18">
  <autoFilter ref="C25:E26" xr:uid="{2B51FC0C-7762-4288-B3E2-7FD16023F698}"/>
  <tableColumns count="3">
    <tableColumn id="1" xr3:uid="{8A98A0A9-F636-4B4D-BE66-A2F36F2C09F2}" name="DATA" dataDxfId="17"/>
    <tableColumn id="2" xr3:uid="{6F000978-D3D1-41D0-96CA-3BEF815DB197}" name="TÉCNICO" dataDxfId="16"/>
    <tableColumn id="3" xr3:uid="{C1575DEF-E570-436D-BC76-F08B6C96AA49}" name="INTERCORRÊNCIAS" dataDxfId="1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8E4B56-563C-4241-B735-91EF9A9654CE}" name="Tabela35" displayName="Tabela35" ref="C18:E19" insertRow="1" totalsRowShown="0" headerRowDxfId="14" dataDxfId="13">
  <autoFilter ref="C18:E19" xr:uid="{3C8E4B56-563C-4241-B735-91EF9A9654CE}"/>
  <tableColumns count="3">
    <tableColumn id="1" xr3:uid="{28B32659-8EE4-45BC-A315-5F93807C6746}" name="DATA" dataDxfId="12"/>
    <tableColumn id="2" xr3:uid="{6B486494-CA8B-4E63-9A92-21756D679BBE}" name="TÉCNICO" dataDxfId="11"/>
    <tableColumn id="3" xr3:uid="{20C8C04B-FEE0-4ECE-A421-8F5C1245625B}" name="INTERCORRÊNCIAS" dataDxfId="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3C970B-813E-4CA8-83CF-E6743B36A8F5}" name="Tabela356" displayName="Tabela356" ref="C39:E40" insertRow="1" totalsRowShown="0" headerRowDxfId="9" dataDxfId="8">
  <autoFilter ref="C39:E40" xr:uid="{2D3C970B-813E-4CA8-83CF-E6743B36A8F5}"/>
  <tableColumns count="3">
    <tableColumn id="1" xr3:uid="{BC5E11BD-493B-44AC-82B3-B895022C3CD8}" name="DATA" dataDxfId="7"/>
    <tableColumn id="2" xr3:uid="{CEE82BA5-9DEF-41C3-BEB6-22514EA0A43D}" name="TÉCNICO" dataDxfId="6"/>
    <tableColumn id="3" xr3:uid="{332144AA-D94B-4370-B116-CFA58CCE18DF}" name="INTERCORRÊNCIAS" dataDxfId="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6B95F-89EB-423F-BBCB-E85998C5B92E}" name="Tabela3567" displayName="Tabela3567" ref="C20:E21" insertRow="1" totalsRowShown="0" headerRowDxfId="4" dataDxfId="3">
  <autoFilter ref="C20:E21" xr:uid="{8E76B95F-89EB-423F-BBCB-E85998C5B92E}"/>
  <tableColumns count="3">
    <tableColumn id="1" xr3:uid="{52A8DCD7-EA8D-4559-A225-D743B87AD50F}" name="DATA" dataDxfId="2"/>
    <tableColumn id="2" xr3:uid="{960DD8AA-5ADE-4CF5-AA65-2B5B62EC1543}" name="TÉCNICO" dataDxfId="1"/>
    <tableColumn id="3" xr3:uid="{417AF3C1-E98A-4C69-8AD7-7DCF69659B57}" name="INTERCORRÊNCIA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5B2DF-D705-4E2C-921B-D6AE2AF7C79A}">
  <sheetPr codeName="Planilha2"/>
  <dimension ref="A1:P39"/>
  <sheetViews>
    <sheetView showGridLines="0" topLeftCell="A11" workbookViewId="0">
      <selection activeCell="G11" sqref="G11"/>
    </sheetView>
  </sheetViews>
  <sheetFormatPr defaultRowHeight="15" x14ac:dyDescent="0.25"/>
  <cols>
    <col min="1" max="2" width="9.140625" style="1"/>
    <col min="3" max="3" width="19.5703125" style="1" bestFit="1" customWidth="1"/>
    <col min="4" max="4" width="8.5703125" style="1" customWidth="1"/>
    <col min="5" max="6" width="14.7109375" style="1" bestFit="1" customWidth="1"/>
    <col min="7" max="7" width="14.28515625" style="1" customWidth="1"/>
    <col min="8" max="8" width="12.7109375" style="1" customWidth="1"/>
    <col min="9" max="9" width="14.5703125" style="1" customWidth="1"/>
    <col min="10" max="16384" width="9.140625" style="1"/>
  </cols>
  <sheetData>
    <row r="1" spans="1:11" ht="42" customHeight="1" x14ac:dyDescent="0.25">
      <c r="A1" s="29" t="e" vm="1">
        <v>#VALUE!</v>
      </c>
      <c r="B1" s="29"/>
      <c r="C1" s="30" t="s">
        <v>54</v>
      </c>
      <c r="D1" s="30"/>
      <c r="E1" s="30"/>
      <c r="F1" s="30"/>
      <c r="G1" s="30"/>
      <c r="H1" s="30"/>
      <c r="I1" s="30"/>
      <c r="J1" s="29" t="e" vm="1">
        <v>#VALUE!</v>
      </c>
      <c r="K1" s="29"/>
    </row>
    <row r="2" spans="1:11" ht="5.0999999999999996" customHeight="1" x14ac:dyDescent="0.25"/>
    <row r="3" spans="1:11" ht="6.9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ht="5.0999999999999996" customHeight="1" x14ac:dyDescent="0.25">
      <c r="C4" s="28"/>
      <c r="D4" s="28"/>
      <c r="E4" s="28"/>
    </row>
    <row r="5" spans="1:11" x14ac:dyDescent="0.25">
      <c r="C5" s="32" t="s">
        <v>64</v>
      </c>
      <c r="D5" s="32"/>
      <c r="E5" s="32"/>
      <c r="F5" s="25"/>
      <c r="G5" s="25"/>
      <c r="H5" s="25"/>
      <c r="I5" s="19"/>
    </row>
    <row r="6" spans="1:11" ht="5.0999999999999996" customHeight="1" x14ac:dyDescent="0.25">
      <c r="C6" s="20"/>
      <c r="D6" s="20"/>
      <c r="E6" s="20"/>
      <c r="F6" s="13"/>
      <c r="G6" s="13"/>
      <c r="H6" s="13"/>
    </row>
    <row r="7" spans="1:11" x14ac:dyDescent="0.25">
      <c r="C7" s="32" t="s">
        <v>63</v>
      </c>
      <c r="D7" s="32"/>
      <c r="E7" s="32"/>
      <c r="F7" s="25"/>
      <c r="G7" s="25"/>
      <c r="H7" s="25"/>
      <c r="I7" s="19"/>
    </row>
    <row r="8" spans="1:11" ht="5.0999999999999996" customHeight="1" x14ac:dyDescent="0.25"/>
    <row r="9" spans="1:11" ht="6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5.0999999999999996" customHeight="1" x14ac:dyDescent="0.25"/>
    <row r="11" spans="1:11" s="21" customFormat="1" ht="35.1" customHeight="1" x14ac:dyDescent="0.25">
      <c r="C11" s="26" t="s">
        <v>65</v>
      </c>
      <c r="D11" s="26"/>
      <c r="E11" s="15" t="s">
        <v>61</v>
      </c>
      <c r="F11" s="15" t="s">
        <v>66</v>
      </c>
      <c r="G11" s="23">
        <f ca="1">NOW()</f>
        <v>45513.415380324077</v>
      </c>
      <c r="H11" s="22"/>
      <c r="I11" s="22"/>
    </row>
    <row r="12" spans="1:11" x14ac:dyDescent="0.25">
      <c r="C12" s="27" t="s">
        <v>67</v>
      </c>
      <c r="D12" s="27"/>
      <c r="E12" s="16" cm="1">
        <f t="array" ref="E12">Tabela3[DATA]</f>
        <v>0</v>
      </c>
      <c r="F12" s="16">
        <f>E12+1</f>
        <v>1</v>
      </c>
    </row>
    <row r="13" spans="1:11" x14ac:dyDescent="0.25">
      <c r="C13" s="27" t="s">
        <v>68</v>
      </c>
      <c r="D13" s="27"/>
      <c r="E13" s="16" cm="1">
        <f t="array" ref="E13">Tabela35[DATA]</f>
        <v>0</v>
      </c>
      <c r="F13" s="16">
        <f>E13+7</f>
        <v>7</v>
      </c>
    </row>
    <row r="14" spans="1:11" x14ac:dyDescent="0.25">
      <c r="C14" s="27" t="s">
        <v>69</v>
      </c>
      <c r="D14" s="27"/>
      <c r="E14" s="16" cm="1">
        <f t="array" ref="E14">Tabela356[DATA]</f>
        <v>0</v>
      </c>
      <c r="F14" s="24">
        <f>DATE(YEAR(E14)+1, MONTH(E14)+0, DAY(E14)+0 )</f>
        <v>366</v>
      </c>
    </row>
    <row r="15" spans="1:11" x14ac:dyDescent="0.25">
      <c r="C15" s="27" t="s">
        <v>70</v>
      </c>
      <c r="D15" s="27"/>
      <c r="E15" s="16" cm="1">
        <f t="array" ref="E15">Tabela3567[DATA]</f>
        <v>0</v>
      </c>
      <c r="F15" s="16">
        <f>DATE(YEAR(E15)+2, MONTH(E15)+0, DAY(E15)+0 )</f>
        <v>731</v>
      </c>
    </row>
    <row r="16" spans="1:11" ht="5.0999999999999996" customHeight="1" x14ac:dyDescent="0.25"/>
    <row r="17" spans="1:16" ht="6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6" ht="5.0999999999999996" customHeight="1" x14ac:dyDescent="0.25"/>
    <row r="19" spans="1:16" ht="42" customHeight="1" x14ac:dyDescent="0.25">
      <c r="B19" s="6"/>
      <c r="C19" s="31" t="s">
        <v>57</v>
      </c>
      <c r="D19" s="31"/>
      <c r="E19" s="31"/>
      <c r="F19" s="31"/>
      <c r="G19" s="31"/>
      <c r="H19" s="31"/>
      <c r="I19" s="31"/>
      <c r="J19" s="6"/>
    </row>
    <row r="20" spans="1:16" ht="5.0999999999999996" customHeight="1" x14ac:dyDescent="0.25"/>
    <row r="21" spans="1:16" s="8" customFormat="1" ht="21" customHeight="1" x14ac:dyDescent="0.25">
      <c r="C21" s="26" t="s">
        <v>50</v>
      </c>
      <c r="D21" s="26" t="s">
        <v>52</v>
      </c>
      <c r="E21" s="26" t="s">
        <v>61</v>
      </c>
      <c r="F21" s="26"/>
      <c r="G21" s="26"/>
      <c r="H21" s="26" t="s">
        <v>51</v>
      </c>
      <c r="I21" s="26" t="s">
        <v>59</v>
      </c>
    </row>
    <row r="22" spans="1:16" s="8" customFormat="1" ht="21" customHeight="1" x14ac:dyDescent="0.25">
      <c r="C22" s="26"/>
      <c r="D22" s="26"/>
      <c r="E22" s="15" t="s">
        <v>0</v>
      </c>
      <c r="F22" s="15" t="s">
        <v>58</v>
      </c>
      <c r="G22" s="15" t="s">
        <v>53</v>
      </c>
      <c r="H22" s="26"/>
      <c r="I22" s="26"/>
    </row>
    <row r="23" spans="1:16" x14ac:dyDescent="0.25">
      <c r="C23" s="4" t="s">
        <v>45</v>
      </c>
      <c r="D23" s="8">
        <v>500</v>
      </c>
      <c r="E23" s="16"/>
      <c r="F23" s="16"/>
      <c r="G23" s="8"/>
      <c r="H23" s="27"/>
      <c r="I23" s="8">
        <f>D23-($H$23-G23)</f>
        <v>500</v>
      </c>
      <c r="M23" s="3"/>
      <c r="N23" s="3"/>
      <c r="O23" s="3"/>
      <c r="P23" s="3"/>
    </row>
    <row r="24" spans="1:16" x14ac:dyDescent="0.25">
      <c r="C24" s="4" t="s">
        <v>48</v>
      </c>
      <c r="D24" s="8">
        <v>500</v>
      </c>
      <c r="E24" s="16"/>
      <c r="F24" s="16"/>
      <c r="G24" s="8"/>
      <c r="H24" s="27"/>
      <c r="I24" s="8">
        <f t="shared" ref="I24:I29" si="0">D24-($H$23-G24)</f>
        <v>500</v>
      </c>
      <c r="M24" s="3"/>
      <c r="N24" s="3"/>
      <c r="O24" s="3"/>
      <c r="P24" s="3"/>
    </row>
    <row r="25" spans="1:16" x14ac:dyDescent="0.25">
      <c r="C25" s="4" t="s">
        <v>46</v>
      </c>
      <c r="D25" s="8">
        <v>500</v>
      </c>
      <c r="E25" s="16"/>
      <c r="F25" s="16"/>
      <c r="G25" s="8"/>
      <c r="H25" s="27"/>
      <c r="I25" s="8">
        <f t="shared" si="0"/>
        <v>500</v>
      </c>
      <c r="M25" s="3"/>
      <c r="N25" s="3"/>
      <c r="O25" s="3"/>
      <c r="P25" s="3"/>
    </row>
    <row r="26" spans="1:16" x14ac:dyDescent="0.25">
      <c r="C26" s="4" t="s">
        <v>47</v>
      </c>
      <c r="D26" s="8">
        <v>500</v>
      </c>
      <c r="E26" s="16"/>
      <c r="F26" s="16"/>
      <c r="G26" s="8"/>
      <c r="H26" s="27"/>
      <c r="I26" s="8">
        <f t="shared" si="0"/>
        <v>500</v>
      </c>
      <c r="M26" s="3"/>
      <c r="N26" s="3"/>
      <c r="O26" s="3"/>
      <c r="P26" s="3"/>
    </row>
    <row r="27" spans="1:16" x14ac:dyDescent="0.25">
      <c r="C27" s="4" t="s">
        <v>55</v>
      </c>
      <c r="D27" s="8">
        <v>500</v>
      </c>
      <c r="E27" s="16"/>
      <c r="F27" s="16"/>
      <c r="G27" s="8"/>
      <c r="H27" s="27"/>
      <c r="I27" s="8">
        <f t="shared" si="0"/>
        <v>500</v>
      </c>
      <c r="M27" s="3"/>
      <c r="N27" s="3"/>
      <c r="O27" s="3"/>
      <c r="P27" s="3"/>
    </row>
    <row r="28" spans="1:16" x14ac:dyDescent="0.25">
      <c r="C28" s="4" t="s">
        <v>56</v>
      </c>
      <c r="D28" s="8">
        <v>1000</v>
      </c>
      <c r="E28" s="16"/>
      <c r="F28" s="16"/>
      <c r="G28" s="8"/>
      <c r="H28" s="27"/>
      <c r="I28" s="8">
        <f t="shared" si="0"/>
        <v>1000</v>
      </c>
      <c r="M28" s="3"/>
      <c r="N28" s="3"/>
      <c r="O28" s="3"/>
      <c r="P28" s="3"/>
    </row>
    <row r="29" spans="1:16" x14ac:dyDescent="0.25">
      <c r="C29" s="4" t="s">
        <v>60</v>
      </c>
      <c r="D29" s="8">
        <v>3000</v>
      </c>
      <c r="E29" s="16"/>
      <c r="F29" s="16"/>
      <c r="G29" s="8"/>
      <c r="H29" s="27"/>
      <c r="I29" s="8">
        <f t="shared" si="0"/>
        <v>3000</v>
      </c>
      <c r="M29" s="14"/>
      <c r="N29" s="14"/>
      <c r="O29" s="18"/>
      <c r="P29" s="18"/>
    </row>
    <row r="30" spans="1:16" x14ac:dyDescent="0.25">
      <c r="C30" s="4"/>
      <c r="D30" s="4"/>
      <c r="E30" s="4"/>
      <c r="F30" s="4"/>
      <c r="G30" s="4"/>
      <c r="H30" s="4"/>
      <c r="I30" s="4"/>
      <c r="M30" s="3"/>
      <c r="N30" s="3"/>
      <c r="O30" s="3"/>
      <c r="P30" s="3"/>
    </row>
    <row r="31" spans="1:16" s="5" customFormat="1" ht="18.95" customHeight="1" x14ac:dyDescent="0.25">
      <c r="C31" s="17"/>
      <c r="D31" s="17"/>
      <c r="E31" s="17"/>
      <c r="F31" s="17"/>
      <c r="G31" s="17"/>
      <c r="H31" s="17"/>
      <c r="I31" s="17"/>
      <c r="M31" s="3"/>
      <c r="N31" s="3"/>
      <c r="O31" s="3"/>
      <c r="P31" s="3"/>
    </row>
    <row r="32" spans="1:16" x14ac:dyDescent="0.25">
      <c r="C32" s="3"/>
      <c r="D32" s="3"/>
      <c r="E32" s="3"/>
      <c r="F32" s="3"/>
      <c r="G32" s="3"/>
      <c r="H32" s="3"/>
      <c r="I32" s="3"/>
    </row>
    <row r="33" spans="1:11" ht="5.0999999999999996" customHeight="1" x14ac:dyDescent="0.25"/>
    <row r="34" spans="1:11" ht="6.9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 ht="15" customHeight="1" x14ac:dyDescent="0.25">
      <c r="B35" s="6"/>
      <c r="C35" s="7"/>
      <c r="D35" s="7"/>
      <c r="E35" s="7"/>
      <c r="F35" s="7"/>
      <c r="G35" s="7"/>
      <c r="H35" s="7"/>
      <c r="J35" s="6"/>
    </row>
    <row r="36" spans="1:11" ht="15" customHeight="1" x14ac:dyDescent="0.25">
      <c r="B36" s="6"/>
      <c r="C36" s="7"/>
      <c r="D36" s="7"/>
      <c r="E36" s="7"/>
      <c r="F36" s="7"/>
      <c r="G36" s="7"/>
      <c r="H36" s="7"/>
      <c r="J36" s="6"/>
    </row>
    <row r="39" spans="1:11" x14ac:dyDescent="0.25">
      <c r="C39" s="28"/>
      <c r="D39" s="28"/>
      <c r="E39" s="28"/>
    </row>
  </sheetData>
  <sheetProtection algorithmName="SHA-512" hashValue="lJjy+C3W3K6Ln20hG+zI0U48oNo2niTowGbye2yCAHINEyyPw7Cw2CAEkvgD300QMbGc5iXQDFiUb+yANqY4ag==" saltValue="Qrnr3mKLotYFWoz6SQvRLQ==" spinCount="100000" sheet="1" scenarios="1" selectLockedCells="1" selectUnlockedCells="1"/>
  <mergeCells count="21">
    <mergeCell ref="H23:H29"/>
    <mergeCell ref="C39:E39"/>
    <mergeCell ref="A1:B1"/>
    <mergeCell ref="C1:I1"/>
    <mergeCell ref="J1:K1"/>
    <mergeCell ref="C19:I19"/>
    <mergeCell ref="D21:D22"/>
    <mergeCell ref="C21:C22"/>
    <mergeCell ref="H21:H22"/>
    <mergeCell ref="I21:I22"/>
    <mergeCell ref="E21:G21"/>
    <mergeCell ref="C4:E4"/>
    <mergeCell ref="C5:E5"/>
    <mergeCell ref="C7:E7"/>
    <mergeCell ref="C14:D14"/>
    <mergeCell ref="C15:D15"/>
    <mergeCell ref="F5:H5"/>
    <mergeCell ref="F7:H7"/>
    <mergeCell ref="C11:D11"/>
    <mergeCell ref="C12:D12"/>
    <mergeCell ref="C13:D13"/>
  </mergeCells>
  <phoneticPr fontId="9" type="noConversion"/>
  <conditionalFormatting sqref="I23">
    <cfRule type="cellIs" dxfId="32" priority="17" operator="lessThan">
      <formula>1</formula>
    </cfRule>
    <cfRule type="cellIs" dxfId="31" priority="19" operator="lessThan">
      <formula>0</formula>
    </cfRule>
  </conditionalFormatting>
  <conditionalFormatting sqref="I24">
    <cfRule type="cellIs" dxfId="30" priority="16" operator="lessThan">
      <formula>1</formula>
    </cfRule>
    <cfRule type="cellIs" dxfId="29" priority="18" operator="lessThan">
      <formula>0</formula>
    </cfRule>
  </conditionalFormatting>
  <conditionalFormatting sqref="I25">
    <cfRule type="cellIs" dxfId="28" priority="15" operator="lessThan">
      <formula>1</formula>
    </cfRule>
  </conditionalFormatting>
  <conditionalFormatting sqref="I26">
    <cfRule type="cellIs" dxfId="27" priority="14" operator="lessThan">
      <formula>1</formula>
    </cfRule>
  </conditionalFormatting>
  <conditionalFormatting sqref="I27">
    <cfRule type="cellIs" dxfId="26" priority="13" operator="lessThan">
      <formula>1</formula>
    </cfRule>
  </conditionalFormatting>
  <conditionalFormatting sqref="I28">
    <cfRule type="cellIs" dxfId="25" priority="12" operator="lessThan">
      <formula>1</formula>
    </cfRule>
  </conditionalFormatting>
  <conditionalFormatting sqref="I29">
    <cfRule type="cellIs" dxfId="24" priority="11" operator="lessThan">
      <formula>1</formula>
    </cfRule>
  </conditionalFormatting>
  <conditionalFormatting sqref="F12">
    <cfRule type="cellIs" dxfId="23" priority="5" operator="lessThan">
      <formula>$G$11</formula>
    </cfRule>
  </conditionalFormatting>
  <conditionalFormatting sqref="F13">
    <cfRule type="cellIs" dxfId="22" priority="4" operator="lessThan">
      <formula>$G$11</formula>
    </cfRule>
  </conditionalFormatting>
  <conditionalFormatting sqref="F14">
    <cfRule type="cellIs" dxfId="21" priority="2" operator="lessThan">
      <formula>$G$11</formula>
    </cfRule>
  </conditionalFormatting>
  <conditionalFormatting sqref="F15">
    <cfRule type="cellIs" dxfId="20" priority="1" operator="lessThan">
      <formula>$G$11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BC14-7BA2-4941-9B00-7F53765631C9}">
  <sheetPr codeName="Planilha3"/>
  <dimension ref="A1:G27"/>
  <sheetViews>
    <sheetView showGridLines="0" tabSelected="1" topLeftCell="A6" zoomScaleNormal="100" workbookViewId="0">
      <selection activeCell="A27" sqref="A26:XFD27"/>
    </sheetView>
  </sheetViews>
  <sheetFormatPr defaultRowHeight="15" x14ac:dyDescent="0.25"/>
  <cols>
    <col min="1" max="2" width="9.140625" style="1"/>
    <col min="3" max="4" width="19.7109375" style="1" customWidth="1"/>
    <col min="5" max="5" width="32.7109375" style="1" customWidth="1"/>
    <col min="6" max="16384" width="9.140625" style="1"/>
  </cols>
  <sheetData>
    <row r="1" spans="1:7" ht="42" customHeight="1" x14ac:dyDescent="0.25">
      <c r="A1" s="29" t="e" vm="1">
        <v>#VALUE!</v>
      </c>
      <c r="B1" s="29"/>
      <c r="C1" s="30" t="s">
        <v>3</v>
      </c>
      <c r="D1" s="30"/>
      <c r="E1" s="30"/>
      <c r="F1" s="29" t="e" vm="1">
        <v>#VALUE!</v>
      </c>
      <c r="G1" s="29"/>
    </row>
    <row r="2" spans="1:7" ht="5.0999999999999996" customHeight="1" x14ac:dyDescent="0.25"/>
    <row r="3" spans="1:7" ht="6.95" customHeight="1" x14ac:dyDescent="0.25">
      <c r="A3" s="2"/>
      <c r="B3" s="2"/>
      <c r="C3" s="2"/>
      <c r="D3" s="2"/>
      <c r="E3" s="2"/>
      <c r="F3" s="2"/>
      <c r="G3" s="2"/>
    </row>
    <row r="4" spans="1:7" ht="5.0999999999999996" customHeight="1" x14ac:dyDescent="0.25"/>
    <row r="5" spans="1:7" ht="30" customHeight="1" x14ac:dyDescent="0.25">
      <c r="B5" s="6"/>
      <c r="C5" s="33" t="s">
        <v>4</v>
      </c>
      <c r="D5" s="33"/>
      <c r="E5" s="33"/>
      <c r="F5" s="6"/>
    </row>
    <row r="6" spans="1:7" ht="5.0999999999999996" customHeight="1" x14ac:dyDescent="0.25"/>
    <row r="7" spans="1:7" s="5" customFormat="1" ht="18.95" customHeight="1" x14ac:dyDescent="0.25">
      <c r="C7" s="35" t="s">
        <v>5</v>
      </c>
      <c r="D7" s="35"/>
      <c r="E7" s="35"/>
    </row>
    <row r="8" spans="1:7" x14ac:dyDescent="0.25">
      <c r="C8" s="34" t="s">
        <v>6</v>
      </c>
      <c r="D8" s="34"/>
      <c r="E8" s="34"/>
    </row>
    <row r="9" spans="1:7" x14ac:dyDescent="0.25">
      <c r="C9" s="34" t="s">
        <v>7</v>
      </c>
      <c r="D9" s="34"/>
      <c r="E9" s="34"/>
    </row>
    <row r="10" spans="1:7" x14ac:dyDescent="0.25">
      <c r="C10" s="34" t="s">
        <v>8</v>
      </c>
      <c r="D10" s="34"/>
      <c r="E10" s="34"/>
    </row>
    <row r="11" spans="1:7" x14ac:dyDescent="0.25">
      <c r="C11" s="34" t="s">
        <v>9</v>
      </c>
      <c r="D11" s="34"/>
      <c r="E11" s="34"/>
    </row>
    <row r="12" spans="1:7" x14ac:dyDescent="0.25">
      <c r="C12" s="34" t="s">
        <v>10</v>
      </c>
      <c r="D12" s="34"/>
      <c r="E12" s="34"/>
    </row>
    <row r="13" spans="1:7" x14ac:dyDescent="0.25">
      <c r="C13" s="34" t="s">
        <v>11</v>
      </c>
      <c r="D13" s="34"/>
      <c r="E13" s="34"/>
    </row>
    <row r="14" spans="1:7" x14ac:dyDescent="0.25">
      <c r="C14" s="34" t="s">
        <v>12</v>
      </c>
      <c r="D14" s="34"/>
      <c r="E14" s="34"/>
    </row>
    <row r="15" spans="1:7" s="5" customFormat="1" ht="18.95" customHeight="1" x14ac:dyDescent="0.25">
      <c r="C15" s="35" t="s">
        <v>13</v>
      </c>
      <c r="D15" s="35"/>
      <c r="E15" s="35"/>
    </row>
    <row r="16" spans="1:7" x14ac:dyDescent="0.25">
      <c r="C16" s="36" t="s">
        <v>14</v>
      </c>
      <c r="D16" s="36"/>
      <c r="E16" s="36"/>
    </row>
    <row r="17" spans="1:7" ht="5.0999999999999996" customHeight="1" x14ac:dyDescent="0.25"/>
    <row r="18" spans="1:7" ht="6.95" customHeight="1" x14ac:dyDescent="0.25">
      <c r="A18" s="2"/>
      <c r="B18" s="2"/>
      <c r="C18" s="2"/>
      <c r="D18" s="2"/>
      <c r="E18" s="2"/>
      <c r="F18" s="2"/>
      <c r="G18" s="2"/>
    </row>
    <row r="19" spans="1:7" ht="5.0999999999999996" customHeight="1" x14ac:dyDescent="0.25"/>
    <row r="20" spans="1:7" ht="30" customHeight="1" x14ac:dyDescent="0.25">
      <c r="B20" s="6"/>
      <c r="C20" s="33" t="s">
        <v>15</v>
      </c>
      <c r="D20" s="33"/>
      <c r="E20" s="33"/>
      <c r="F20" s="6"/>
    </row>
    <row r="21" spans="1:7" ht="5.0999999999999996" customHeight="1" x14ac:dyDescent="0.25"/>
    <row r="24" spans="1:7" ht="5.0999999999999996" customHeight="1" x14ac:dyDescent="0.25"/>
    <row r="25" spans="1:7" ht="17.100000000000001" customHeight="1" x14ac:dyDescent="0.25">
      <c r="B25" s="9"/>
      <c r="C25" s="10" t="s">
        <v>0</v>
      </c>
      <c r="D25" s="10" t="s">
        <v>1</v>
      </c>
      <c r="E25" s="10" t="s">
        <v>2</v>
      </c>
      <c r="F25" s="9"/>
    </row>
    <row r="26" spans="1:7" ht="17.100000000000001" customHeight="1" x14ac:dyDescent="0.25">
      <c r="B26" s="9"/>
      <c r="C26" s="7"/>
      <c r="F26" s="9"/>
    </row>
    <row r="27" spans="1:7" ht="17.100000000000001" customHeight="1" x14ac:dyDescent="0.25">
      <c r="B27" s="9"/>
      <c r="F27" s="9"/>
    </row>
  </sheetData>
  <sheetProtection algorithmName="SHA-512" hashValue="shgnkLU3AgSDY6bYB5BZf+7UI3AoPfxudAd0gr1pmhQTjSb6q9FIgmUnakDAud9tyt0o/JNV0kb6Xa9lpyDsCQ==" saltValue="XRaz1qLInVB/d8NQ9XhQgA==" spinCount="100000" sheet="1" objects="1" scenarios="1" selectLockedCells="1" autoFilter="0" selectUnlockedCells="1"/>
  <mergeCells count="15">
    <mergeCell ref="F1:G1"/>
    <mergeCell ref="C1:E1"/>
    <mergeCell ref="A1:B1"/>
    <mergeCell ref="C20:E20"/>
    <mergeCell ref="C8:E8"/>
    <mergeCell ref="C9:E9"/>
    <mergeCell ref="C10:E10"/>
    <mergeCell ref="C11:E11"/>
    <mergeCell ref="C12:E12"/>
    <mergeCell ref="C13:E13"/>
    <mergeCell ref="C14:E14"/>
    <mergeCell ref="C7:E7"/>
    <mergeCell ref="C15:E15"/>
    <mergeCell ref="C16:E16"/>
    <mergeCell ref="C5:E5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EAF77-3777-4069-A7DC-DB6FC3881A4C}">
  <sheetPr codeName="Planilha1"/>
  <dimension ref="A1:G20"/>
  <sheetViews>
    <sheetView showGridLines="0" workbookViewId="0">
      <selection activeCell="D16" sqref="D16"/>
    </sheetView>
  </sheetViews>
  <sheetFormatPr defaultRowHeight="15" x14ac:dyDescent="0.25"/>
  <cols>
    <col min="1" max="2" width="9.140625" style="1"/>
    <col min="3" max="4" width="19.7109375" style="1" customWidth="1"/>
    <col min="5" max="5" width="32.7109375" style="1" customWidth="1"/>
    <col min="6" max="16384" width="9.140625" style="1"/>
  </cols>
  <sheetData>
    <row r="1" spans="1:7" ht="42" customHeight="1" x14ac:dyDescent="0.25">
      <c r="A1" s="29" t="e" vm="1">
        <v>#VALUE!</v>
      </c>
      <c r="B1" s="29"/>
      <c r="C1" s="30" t="s">
        <v>16</v>
      </c>
      <c r="D1" s="30"/>
      <c r="E1" s="30"/>
      <c r="F1" s="29" t="e" vm="1">
        <v>#VALUE!</v>
      </c>
      <c r="G1" s="29"/>
    </row>
    <row r="2" spans="1:7" ht="5.0999999999999996" customHeight="1" x14ac:dyDescent="0.25"/>
    <row r="3" spans="1:7" ht="6.95" customHeight="1" x14ac:dyDescent="0.25">
      <c r="A3" s="2"/>
      <c r="B3" s="2"/>
      <c r="C3" s="2"/>
      <c r="D3" s="2"/>
      <c r="E3" s="2"/>
      <c r="F3" s="2"/>
      <c r="G3" s="2"/>
    </row>
    <row r="4" spans="1:7" ht="5.0999999999999996" customHeight="1" x14ac:dyDescent="0.25"/>
    <row r="5" spans="1:7" ht="30" customHeight="1" x14ac:dyDescent="0.25">
      <c r="B5" s="6"/>
      <c r="C5" s="33" t="s">
        <v>4</v>
      </c>
      <c r="D5" s="33"/>
      <c r="E5" s="33"/>
      <c r="F5" s="6"/>
    </row>
    <row r="6" spans="1:7" ht="5.0999999999999996" customHeight="1" x14ac:dyDescent="0.25"/>
    <row r="7" spans="1:7" s="5" customFormat="1" ht="18.95" customHeight="1" x14ac:dyDescent="0.25">
      <c r="C7" s="35" t="s">
        <v>5</v>
      </c>
      <c r="D7" s="35"/>
      <c r="E7" s="35"/>
    </row>
    <row r="8" spans="1:7" x14ac:dyDescent="0.25">
      <c r="C8" s="34" t="s">
        <v>17</v>
      </c>
      <c r="D8" s="34"/>
      <c r="E8" s="34"/>
    </row>
    <row r="9" spans="1:7" ht="5.0999999999999996" customHeight="1" x14ac:dyDescent="0.25"/>
    <row r="10" spans="1:7" ht="6.95" customHeight="1" x14ac:dyDescent="0.25">
      <c r="A10" s="2"/>
      <c r="B10" s="2"/>
      <c r="C10" s="2"/>
      <c r="D10" s="2"/>
      <c r="E10" s="2"/>
      <c r="F10" s="2"/>
      <c r="G10" s="2"/>
    </row>
    <row r="11" spans="1:7" ht="5.0999999999999996" customHeight="1" x14ac:dyDescent="0.25"/>
    <row r="12" spans="1:7" ht="30" customHeight="1" x14ac:dyDescent="0.25">
      <c r="B12" s="6"/>
      <c r="C12" s="33" t="s">
        <v>15</v>
      </c>
      <c r="D12" s="33"/>
      <c r="E12" s="33"/>
      <c r="F12" s="6"/>
    </row>
    <row r="13" spans="1:7" ht="5.0999999999999996" customHeight="1" x14ac:dyDescent="0.25"/>
    <row r="14" spans="1:7" x14ac:dyDescent="0.25">
      <c r="C14" s="32" t="s">
        <v>18</v>
      </c>
      <c r="D14" s="32"/>
    </row>
    <row r="15" spans="1:7" x14ac:dyDescent="0.25">
      <c r="C15" s="11" t="s">
        <v>19</v>
      </c>
    </row>
    <row r="16" spans="1:7" x14ac:dyDescent="0.25">
      <c r="C16" s="11" t="s">
        <v>20</v>
      </c>
    </row>
    <row r="17" spans="2:6" ht="5.0999999999999996" customHeight="1" x14ac:dyDescent="0.25"/>
    <row r="18" spans="2:6" ht="17.100000000000001" customHeight="1" x14ac:dyDescent="0.25">
      <c r="B18" s="9"/>
      <c r="C18" s="10" t="s">
        <v>0</v>
      </c>
      <c r="D18" s="10" t="s">
        <v>1</v>
      </c>
      <c r="E18" s="10" t="s">
        <v>2</v>
      </c>
      <c r="F18" s="9"/>
    </row>
    <row r="19" spans="2:6" ht="17.100000000000001" customHeight="1" x14ac:dyDescent="0.25">
      <c r="B19" s="9"/>
      <c r="C19" s="7"/>
      <c r="F19" s="9"/>
    </row>
    <row r="20" spans="2:6" ht="15" customHeight="1" x14ac:dyDescent="0.25">
      <c r="B20" s="6"/>
      <c r="F20" s="6"/>
    </row>
  </sheetData>
  <sheetProtection algorithmName="SHA-512" hashValue="asQVbxRXVTp2Ez+dm+q2EYhpBLz8FhG2ReQ7kzbmubUkuzpaVsVB0bmut7+uFv3rpuQOxCX0etB1KcN7LihZ0A==" saltValue="Vqnem6tq+2+6SIr9YsAJLw==" spinCount="100000" sheet="1" objects="1" scenarios="1" selectLockedCells="1" autoFilter="0" selectUnlockedCells="1"/>
  <mergeCells count="8">
    <mergeCell ref="C12:E12"/>
    <mergeCell ref="C14:D14"/>
    <mergeCell ref="A1:B1"/>
    <mergeCell ref="C1:E1"/>
    <mergeCell ref="F1:G1"/>
    <mergeCell ref="C5:E5"/>
    <mergeCell ref="C7:E7"/>
    <mergeCell ref="C8:E8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1FAD-98B5-442A-8A46-66202BC2CEDB}">
  <sheetPr codeName="Planilha5"/>
  <dimension ref="A1:J44"/>
  <sheetViews>
    <sheetView showGridLines="0" workbookViewId="0">
      <selection activeCell="A40" sqref="A40:XFD40"/>
    </sheetView>
  </sheetViews>
  <sheetFormatPr defaultRowHeight="15" x14ac:dyDescent="0.25"/>
  <cols>
    <col min="1" max="2" width="9.140625" style="1"/>
    <col min="3" max="4" width="19.7109375" style="1" customWidth="1"/>
    <col min="5" max="5" width="32.7109375" style="1" customWidth="1"/>
    <col min="6" max="16384" width="9.140625" style="1"/>
  </cols>
  <sheetData>
    <row r="1" spans="1:10" ht="42" customHeight="1" x14ac:dyDescent="0.25">
      <c r="A1" s="29" t="e" vm="1">
        <v>#VALUE!</v>
      </c>
      <c r="B1" s="29"/>
      <c r="C1" s="30" t="s">
        <v>21</v>
      </c>
      <c r="D1" s="30"/>
      <c r="E1" s="30"/>
      <c r="F1" s="29" t="e" vm="1">
        <v>#VALUE!</v>
      </c>
      <c r="G1" s="29"/>
    </row>
    <row r="2" spans="1:10" ht="5.0999999999999996" customHeight="1" x14ac:dyDescent="0.25"/>
    <row r="3" spans="1:10" ht="6.95" customHeight="1" x14ac:dyDescent="0.25">
      <c r="A3" s="2"/>
      <c r="B3" s="2"/>
      <c r="C3" s="2"/>
      <c r="D3" s="2"/>
      <c r="E3" s="2"/>
      <c r="F3" s="2"/>
      <c r="G3" s="2"/>
    </row>
    <row r="4" spans="1:10" ht="5.0999999999999996" customHeight="1" x14ac:dyDescent="0.25"/>
    <row r="5" spans="1:10" ht="30" customHeight="1" x14ac:dyDescent="0.25">
      <c r="B5" s="6"/>
      <c r="C5" s="33" t="s">
        <v>4</v>
      </c>
      <c r="D5" s="33"/>
      <c r="E5" s="33"/>
      <c r="F5" s="6"/>
    </row>
    <row r="6" spans="1:10" ht="5.0999999999999996" customHeight="1" x14ac:dyDescent="0.25"/>
    <row r="7" spans="1:10" s="5" customFormat="1" ht="18.95" customHeight="1" x14ac:dyDescent="0.25">
      <c r="B7" s="12"/>
      <c r="C7" s="35" t="s">
        <v>5</v>
      </c>
      <c r="D7" s="35"/>
      <c r="E7" s="35"/>
      <c r="F7" s="12"/>
      <c r="G7" s="12"/>
      <c r="H7" s="12"/>
      <c r="I7" s="12"/>
      <c r="J7" s="12"/>
    </row>
    <row r="8" spans="1:10" x14ac:dyDescent="0.25">
      <c r="B8" s="13"/>
      <c r="C8" s="37" t="s">
        <v>22</v>
      </c>
      <c r="D8" s="37"/>
      <c r="E8" s="37"/>
      <c r="F8" s="14"/>
      <c r="G8" s="14"/>
      <c r="H8" s="14"/>
      <c r="I8" s="14"/>
      <c r="J8" s="14"/>
    </row>
    <row r="9" spans="1:10" x14ac:dyDescent="0.25">
      <c r="B9" s="13"/>
      <c r="C9" s="37" t="s">
        <v>23</v>
      </c>
      <c r="D9" s="37"/>
      <c r="E9" s="37"/>
      <c r="F9" s="14"/>
      <c r="G9" s="14"/>
      <c r="H9" s="14"/>
      <c r="I9" s="14"/>
      <c r="J9" s="14"/>
    </row>
    <row r="10" spans="1:10" x14ac:dyDescent="0.25">
      <c r="B10" s="13"/>
      <c r="C10" s="37" t="s">
        <v>24</v>
      </c>
      <c r="D10" s="37"/>
      <c r="E10" s="37"/>
      <c r="F10" s="14"/>
      <c r="G10" s="14"/>
      <c r="H10" s="14"/>
      <c r="I10" s="14"/>
      <c r="J10" s="14"/>
    </row>
    <row r="11" spans="1:10" x14ac:dyDescent="0.25">
      <c r="B11" s="13"/>
      <c r="C11" s="37" t="s">
        <v>25</v>
      </c>
      <c r="D11" s="37"/>
      <c r="E11" s="37"/>
      <c r="F11" s="14"/>
      <c r="G11" s="14"/>
      <c r="H11" s="14"/>
      <c r="I11" s="14"/>
      <c r="J11" s="14"/>
    </row>
    <row r="12" spans="1:10" x14ac:dyDescent="0.25">
      <c r="B12" s="13"/>
      <c r="C12" s="37" t="s">
        <v>26</v>
      </c>
      <c r="D12" s="37"/>
      <c r="E12" s="37"/>
      <c r="F12" s="14"/>
      <c r="G12" s="14"/>
      <c r="H12" s="14"/>
      <c r="I12" s="14"/>
      <c r="J12" s="14"/>
    </row>
    <row r="13" spans="1:10" x14ac:dyDescent="0.25">
      <c r="B13" s="13"/>
      <c r="C13" s="37" t="s">
        <v>27</v>
      </c>
      <c r="D13" s="37"/>
      <c r="E13" s="37"/>
      <c r="F13" s="14"/>
      <c r="G13" s="14"/>
      <c r="H13" s="14"/>
      <c r="I13" s="14"/>
      <c r="J13" s="14"/>
    </row>
    <row r="14" spans="1:10" x14ac:dyDescent="0.25">
      <c r="B14" s="13"/>
      <c r="C14" s="37" t="s">
        <v>28</v>
      </c>
      <c r="D14" s="37"/>
      <c r="E14" s="37"/>
      <c r="F14" s="14"/>
      <c r="G14" s="14"/>
      <c r="H14" s="14"/>
      <c r="I14" s="14"/>
      <c r="J14" s="14"/>
    </row>
    <row r="15" spans="1:10" x14ac:dyDescent="0.25">
      <c r="B15" s="13"/>
      <c r="C15" s="37" t="s">
        <v>29</v>
      </c>
      <c r="D15" s="37"/>
      <c r="E15" s="37"/>
      <c r="F15" s="14"/>
      <c r="G15" s="14"/>
      <c r="H15" s="14"/>
      <c r="I15" s="14"/>
      <c r="J15" s="14"/>
    </row>
    <row r="16" spans="1:10" x14ac:dyDescent="0.25">
      <c r="B16" s="13"/>
      <c r="C16" s="37" t="s">
        <v>30</v>
      </c>
      <c r="D16" s="37"/>
      <c r="E16" s="37"/>
      <c r="F16" s="14"/>
      <c r="G16" s="14"/>
      <c r="H16" s="14"/>
      <c r="I16" s="14"/>
      <c r="J16" s="14"/>
    </row>
    <row r="17" spans="1:10" x14ac:dyDescent="0.25">
      <c r="B17" s="13"/>
      <c r="C17" s="37" t="s">
        <v>31</v>
      </c>
      <c r="D17" s="37"/>
      <c r="E17" s="37"/>
      <c r="F17" s="14"/>
      <c r="G17" s="14"/>
      <c r="H17" s="14"/>
      <c r="I17" s="14"/>
      <c r="J17" s="14"/>
    </row>
    <row r="18" spans="1:10" x14ac:dyDescent="0.25">
      <c r="B18" s="13"/>
      <c r="C18" s="37" t="s">
        <v>32</v>
      </c>
      <c r="D18" s="37"/>
      <c r="E18" s="37"/>
      <c r="F18" s="14"/>
      <c r="G18" s="14"/>
      <c r="H18" s="14"/>
      <c r="I18" s="14"/>
      <c r="J18" s="14"/>
    </row>
    <row r="19" spans="1:10" x14ac:dyDescent="0.25">
      <c r="B19" s="13"/>
      <c r="C19" s="37" t="s">
        <v>33</v>
      </c>
      <c r="D19" s="37"/>
      <c r="E19" s="37"/>
      <c r="F19" s="14"/>
      <c r="G19" s="14"/>
      <c r="H19" s="14"/>
      <c r="I19" s="14"/>
      <c r="J19" s="14"/>
    </row>
    <row r="20" spans="1:10" x14ac:dyDescent="0.25">
      <c r="B20" s="13"/>
      <c r="C20" s="37" t="s">
        <v>34</v>
      </c>
      <c r="D20" s="37"/>
      <c r="E20" s="37"/>
      <c r="F20" s="14"/>
      <c r="G20" s="14"/>
      <c r="H20" s="14"/>
      <c r="I20" s="14"/>
      <c r="J20" s="14"/>
    </row>
    <row r="21" spans="1:10" x14ac:dyDescent="0.25">
      <c r="B21" s="13"/>
      <c r="C21" s="37" t="s">
        <v>35</v>
      </c>
      <c r="D21" s="37"/>
      <c r="E21" s="37"/>
      <c r="F21" s="14"/>
      <c r="G21" s="14"/>
      <c r="H21" s="14"/>
      <c r="I21" s="14"/>
      <c r="J21" s="14"/>
    </row>
    <row r="22" spans="1:10" x14ac:dyDescent="0.25">
      <c r="B22" s="13"/>
      <c r="C22" s="38" t="s">
        <v>49</v>
      </c>
      <c r="D22" s="38"/>
      <c r="E22" s="38"/>
      <c r="F22" s="14"/>
      <c r="G22" s="14"/>
      <c r="H22" s="14"/>
      <c r="I22" s="14"/>
      <c r="J22" s="14"/>
    </row>
    <row r="23" spans="1:10" x14ac:dyDescent="0.25">
      <c r="B23" s="13"/>
      <c r="C23" s="37" t="s">
        <v>36</v>
      </c>
      <c r="D23" s="37"/>
      <c r="E23" s="37"/>
      <c r="F23" s="14"/>
      <c r="G23" s="14"/>
      <c r="H23" s="14"/>
      <c r="I23" s="14"/>
      <c r="J23" s="14"/>
    </row>
    <row r="24" spans="1:10" x14ac:dyDescent="0.25">
      <c r="B24" s="13"/>
      <c r="C24" s="37" t="s">
        <v>37</v>
      </c>
      <c r="D24" s="37"/>
      <c r="E24" s="37"/>
      <c r="F24" s="14"/>
      <c r="G24" s="14"/>
      <c r="H24" s="14"/>
      <c r="I24" s="14"/>
      <c r="J24" s="14"/>
    </row>
    <row r="25" spans="1:10" x14ac:dyDescent="0.25">
      <c r="B25" s="13"/>
      <c r="C25" s="37" t="s">
        <v>38</v>
      </c>
      <c r="D25" s="37"/>
      <c r="E25" s="37"/>
      <c r="F25" s="14"/>
      <c r="G25" s="14"/>
      <c r="H25" s="14"/>
      <c r="I25" s="14"/>
      <c r="J25" s="14"/>
    </row>
    <row r="26" spans="1:10" ht="5.0999999999999996" customHeight="1" x14ac:dyDescent="0.25">
      <c r="B26" s="13"/>
      <c r="C26" s="13"/>
      <c r="D26" s="13"/>
      <c r="E26" s="13"/>
      <c r="F26" s="13"/>
      <c r="G26" s="13"/>
      <c r="H26" s="13"/>
      <c r="I26" s="13"/>
      <c r="J26" s="13"/>
    </row>
    <row r="27" spans="1:10" s="5" customFormat="1" ht="18.95" customHeight="1" x14ac:dyDescent="0.25">
      <c r="B27" s="12"/>
      <c r="C27" s="35" t="s">
        <v>41</v>
      </c>
      <c r="D27" s="35"/>
      <c r="E27" s="35"/>
      <c r="F27" s="12"/>
      <c r="G27" s="12"/>
      <c r="H27" s="12"/>
      <c r="I27" s="12"/>
      <c r="J27" s="12"/>
    </row>
    <row r="28" spans="1:10" x14ac:dyDescent="0.25">
      <c r="B28" s="13"/>
      <c r="C28" s="37" t="s">
        <v>40</v>
      </c>
      <c r="D28" s="37"/>
      <c r="E28" s="37"/>
      <c r="F28" s="14"/>
      <c r="G28" s="14"/>
      <c r="H28" s="14"/>
      <c r="I28" s="14"/>
      <c r="J28" s="14"/>
    </row>
    <row r="29" spans="1:10" x14ac:dyDescent="0.25">
      <c r="B29" s="13"/>
      <c r="C29" s="37" t="s">
        <v>39</v>
      </c>
      <c r="D29" s="37"/>
      <c r="E29" s="37"/>
      <c r="F29" s="14"/>
      <c r="G29" s="14"/>
      <c r="H29" s="14"/>
      <c r="I29" s="14"/>
      <c r="J29" s="14"/>
    </row>
    <row r="30" spans="1:10" ht="5.0999999999999996" customHeight="1" x14ac:dyDescent="0.25"/>
    <row r="31" spans="1:10" ht="6.95" customHeight="1" x14ac:dyDescent="0.25">
      <c r="A31" s="2"/>
      <c r="B31" s="2"/>
      <c r="C31" s="2"/>
      <c r="D31" s="2"/>
      <c r="E31" s="2"/>
      <c r="F31" s="2"/>
      <c r="G31" s="2"/>
    </row>
    <row r="32" spans="1:10" ht="5.0999999999999996" customHeight="1" x14ac:dyDescent="0.25"/>
    <row r="33" spans="2:6" ht="30" customHeight="1" x14ac:dyDescent="0.25">
      <c r="B33" s="6"/>
      <c r="C33" s="33" t="s">
        <v>15</v>
      </c>
      <c r="D33" s="33"/>
      <c r="E33" s="33"/>
      <c r="F33" s="6"/>
    </row>
    <row r="34" spans="2:6" ht="5.0999999999999996" customHeight="1" x14ac:dyDescent="0.25"/>
    <row r="35" spans="2:6" x14ac:dyDescent="0.25">
      <c r="C35" s="32" t="s">
        <v>18</v>
      </c>
      <c r="D35" s="32"/>
    </row>
    <row r="36" spans="2:6" x14ac:dyDescent="0.25">
      <c r="C36" s="11" t="s">
        <v>19</v>
      </c>
    </row>
    <row r="37" spans="2:6" x14ac:dyDescent="0.25">
      <c r="C37" s="11" t="s">
        <v>20</v>
      </c>
    </row>
    <row r="38" spans="2:6" ht="5.0999999999999996" customHeight="1" x14ac:dyDescent="0.25"/>
    <row r="39" spans="2:6" ht="17.100000000000001" customHeight="1" x14ac:dyDescent="0.25">
      <c r="B39" s="9"/>
      <c r="C39" s="10" t="s">
        <v>0</v>
      </c>
      <c r="D39" s="10" t="s">
        <v>1</v>
      </c>
      <c r="E39" s="10" t="s">
        <v>2</v>
      </c>
      <c r="F39" s="9"/>
    </row>
    <row r="40" spans="2:6" ht="17.100000000000001" customHeight="1" x14ac:dyDescent="0.25">
      <c r="B40" s="9"/>
      <c r="C40" s="7"/>
      <c r="F40" s="9"/>
    </row>
    <row r="41" spans="2:6" ht="17.100000000000001" customHeight="1" x14ac:dyDescent="0.25">
      <c r="B41" s="9"/>
      <c r="F41" s="9"/>
    </row>
    <row r="42" spans="2:6" ht="17.100000000000001" customHeight="1" x14ac:dyDescent="0.25">
      <c r="B42" s="9"/>
      <c r="F42" s="9"/>
    </row>
    <row r="43" spans="2:6" ht="15" customHeight="1" x14ac:dyDescent="0.25">
      <c r="B43" s="6"/>
      <c r="F43" s="6"/>
    </row>
    <row r="44" spans="2:6" ht="15" customHeight="1" x14ac:dyDescent="0.25">
      <c r="B44" s="6"/>
      <c r="F44" s="6"/>
    </row>
  </sheetData>
  <sheetProtection algorithmName="SHA-512" hashValue="TD8Wnufz6Ko7EX6e+hZ/OBQu93jh80d9tEuJ1T5fad0jFFNFAG4kZQJPDc/wle9ED085pm9kVE4VIGWna6pjgw==" saltValue="9T0QErhJ8g4uiKW6b546uw==" spinCount="100000" sheet="1" objects="1" scenarios="1" selectLockedCells="1" autoFilter="0" selectUnlockedCells="1"/>
  <mergeCells count="28">
    <mergeCell ref="C27:E27"/>
    <mergeCell ref="C28:E28"/>
    <mergeCell ref="C23:E23"/>
    <mergeCell ref="C18:E18"/>
    <mergeCell ref="C22:E22"/>
    <mergeCell ref="C24:E24"/>
    <mergeCell ref="C25:E25"/>
    <mergeCell ref="C33:E33"/>
    <mergeCell ref="C35:D35"/>
    <mergeCell ref="A1:B1"/>
    <mergeCell ref="C1:E1"/>
    <mergeCell ref="C29:E29"/>
    <mergeCell ref="C10:E10"/>
    <mergeCell ref="C11:E11"/>
    <mergeCell ref="C12:E12"/>
    <mergeCell ref="C13:E13"/>
    <mergeCell ref="C14:E14"/>
    <mergeCell ref="C15:E15"/>
    <mergeCell ref="C16:E16"/>
    <mergeCell ref="C17:E17"/>
    <mergeCell ref="C19:E19"/>
    <mergeCell ref="C20:E20"/>
    <mergeCell ref="C21:E21"/>
    <mergeCell ref="F1:G1"/>
    <mergeCell ref="C5:E5"/>
    <mergeCell ref="C7:E7"/>
    <mergeCell ref="C8:E8"/>
    <mergeCell ref="C9:E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9393-47A3-4035-A051-08B5506A3C7F}">
  <sheetPr codeName="Planilha6"/>
  <dimension ref="A1:J21"/>
  <sheetViews>
    <sheetView showGridLines="0" workbookViewId="0">
      <selection activeCell="D18" sqref="D18"/>
    </sheetView>
  </sheetViews>
  <sheetFormatPr defaultRowHeight="15" x14ac:dyDescent="0.25"/>
  <cols>
    <col min="1" max="2" width="9.140625" style="1"/>
    <col min="3" max="4" width="19.7109375" style="1" customWidth="1"/>
    <col min="5" max="5" width="32.7109375" style="1" customWidth="1"/>
    <col min="6" max="16384" width="9.140625" style="1"/>
  </cols>
  <sheetData>
    <row r="1" spans="1:10" ht="42" customHeight="1" x14ac:dyDescent="0.25">
      <c r="A1" s="29" t="e" vm="1">
        <v>#VALUE!</v>
      </c>
      <c r="B1" s="29"/>
      <c r="C1" s="30" t="s">
        <v>44</v>
      </c>
      <c r="D1" s="30"/>
      <c r="E1" s="30"/>
      <c r="F1" s="29" t="e" vm="1">
        <v>#VALUE!</v>
      </c>
      <c r="G1" s="29"/>
    </row>
    <row r="2" spans="1:10" ht="5.0999999999999996" customHeight="1" x14ac:dyDescent="0.25"/>
    <row r="3" spans="1:10" ht="6.95" customHeight="1" x14ac:dyDescent="0.25">
      <c r="A3" s="2"/>
      <c r="B3" s="2"/>
      <c r="C3" s="2"/>
      <c r="D3" s="2"/>
      <c r="E3" s="2"/>
      <c r="F3" s="2"/>
      <c r="G3" s="2"/>
    </row>
    <row r="4" spans="1:10" ht="5.0999999999999996" customHeight="1" x14ac:dyDescent="0.25"/>
    <row r="5" spans="1:10" ht="30" customHeight="1" x14ac:dyDescent="0.25">
      <c r="B5" s="6"/>
      <c r="C5" s="33" t="s">
        <v>4</v>
      </c>
      <c r="D5" s="33"/>
      <c r="E5" s="33"/>
      <c r="F5" s="6"/>
    </row>
    <row r="6" spans="1:10" ht="5.0999999999999996" customHeight="1" x14ac:dyDescent="0.25"/>
    <row r="7" spans="1:10" s="5" customFormat="1" ht="18.95" customHeight="1" x14ac:dyDescent="0.25">
      <c r="B7" s="12"/>
      <c r="C7" s="35" t="s">
        <v>5</v>
      </c>
      <c r="D7" s="35"/>
      <c r="E7" s="35"/>
      <c r="F7" s="12"/>
      <c r="G7" s="12"/>
      <c r="H7" s="12"/>
      <c r="I7" s="12"/>
      <c r="J7" s="12"/>
    </row>
    <row r="8" spans="1:10" x14ac:dyDescent="0.25">
      <c r="B8" s="13"/>
      <c r="C8" s="37" t="s">
        <v>42</v>
      </c>
      <c r="D8" s="37"/>
      <c r="E8" s="37"/>
      <c r="F8" s="14"/>
      <c r="G8" s="14"/>
      <c r="H8" s="14"/>
      <c r="I8" s="14"/>
      <c r="J8" s="14"/>
    </row>
    <row r="9" spans="1:10" x14ac:dyDescent="0.25">
      <c r="B9" s="13"/>
      <c r="C9" s="37" t="s">
        <v>43</v>
      </c>
      <c r="D9" s="37"/>
      <c r="E9" s="37"/>
      <c r="F9" s="14"/>
      <c r="G9" s="14"/>
      <c r="H9" s="14"/>
      <c r="I9" s="14"/>
      <c r="J9" s="14"/>
    </row>
    <row r="10" spans="1:10" x14ac:dyDescent="0.25">
      <c r="B10" s="13"/>
      <c r="C10" s="37" t="s">
        <v>62</v>
      </c>
      <c r="D10" s="37"/>
      <c r="E10" s="37"/>
      <c r="F10" s="14"/>
      <c r="G10" s="14"/>
      <c r="H10" s="14"/>
      <c r="I10" s="14"/>
      <c r="J10" s="14"/>
    </row>
    <row r="11" spans="1:10" ht="5.0999999999999996" customHeight="1" x14ac:dyDescent="0.25"/>
    <row r="12" spans="1:10" ht="6.95" customHeight="1" x14ac:dyDescent="0.25">
      <c r="A12" s="2"/>
      <c r="B12" s="2"/>
      <c r="C12" s="2"/>
      <c r="D12" s="2"/>
      <c r="E12" s="2"/>
      <c r="F12" s="2"/>
      <c r="G12" s="2"/>
    </row>
    <row r="13" spans="1:10" ht="5.0999999999999996" customHeight="1" x14ac:dyDescent="0.25"/>
    <row r="14" spans="1:10" ht="30" customHeight="1" x14ac:dyDescent="0.25">
      <c r="B14" s="6"/>
      <c r="C14" s="33" t="s">
        <v>15</v>
      </c>
      <c r="D14" s="33"/>
      <c r="E14" s="33"/>
      <c r="F14" s="6"/>
    </row>
    <row r="15" spans="1:10" ht="5.0999999999999996" customHeight="1" x14ac:dyDescent="0.25"/>
    <row r="16" spans="1:10" x14ac:dyDescent="0.25">
      <c r="C16" s="32" t="s">
        <v>18</v>
      </c>
      <c r="D16" s="32"/>
    </row>
    <row r="17" spans="2:6" x14ac:dyDescent="0.25">
      <c r="C17" s="11" t="s">
        <v>19</v>
      </c>
    </row>
    <row r="18" spans="2:6" x14ac:dyDescent="0.25">
      <c r="C18" s="11" t="s">
        <v>20</v>
      </c>
    </row>
    <row r="19" spans="2:6" ht="5.0999999999999996" customHeight="1" x14ac:dyDescent="0.25"/>
    <row r="20" spans="2:6" ht="17.100000000000001" customHeight="1" x14ac:dyDescent="0.25">
      <c r="B20" s="9"/>
      <c r="C20" s="10" t="s">
        <v>0</v>
      </c>
      <c r="D20" s="10" t="s">
        <v>1</v>
      </c>
      <c r="E20" s="10" t="s">
        <v>2</v>
      </c>
      <c r="F20" s="9"/>
    </row>
    <row r="21" spans="2:6" ht="17.100000000000001" customHeight="1" x14ac:dyDescent="0.25">
      <c r="B21" s="9"/>
      <c r="C21" s="7"/>
      <c r="F21" s="9"/>
    </row>
  </sheetData>
  <sheetProtection algorithmName="SHA-512" hashValue="BKHdtLzyigJgIQD0/GKXDUWFuwukUVZpSIQ2YZ6ncJHoueDK24XrXazsMC3PEnTMd89lpfIoB+zW4t1FPg2Kkg==" saltValue="hMuyWjyuZkY1TWeuO0s0kw==" spinCount="100000" sheet="1" objects="1" scenarios="1" selectLockedCells="1" autoFilter="0" selectUnlockedCells="1"/>
  <mergeCells count="10">
    <mergeCell ref="C16:D16"/>
    <mergeCell ref="C9:E9"/>
    <mergeCell ref="C10:E10"/>
    <mergeCell ref="A1:B1"/>
    <mergeCell ref="C1:E1"/>
    <mergeCell ref="F1:G1"/>
    <mergeCell ref="C5:E5"/>
    <mergeCell ref="C7:E7"/>
    <mergeCell ref="C8:E8"/>
    <mergeCell ref="C14:E14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</vt:lpstr>
      <vt:lpstr>DIARIO</vt:lpstr>
      <vt:lpstr>SEMANAL</vt:lpstr>
      <vt:lpstr>ANUAL</vt:lpstr>
      <vt:lpstr>2_ANOS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Fonseca</dc:creator>
  <cp:lastModifiedBy>Victor Fonseca</cp:lastModifiedBy>
  <dcterms:created xsi:type="dcterms:W3CDTF">2024-08-07T11:04:47Z</dcterms:created>
  <dcterms:modified xsi:type="dcterms:W3CDTF">2024-08-09T13:24:09Z</dcterms:modified>
</cp:coreProperties>
</file>